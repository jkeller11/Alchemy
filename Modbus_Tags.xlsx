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unca\Documents\GitHub\Alchemy\"/>
    </mc:Choice>
  </mc:AlternateContent>
  <xr:revisionPtr revIDLastSave="0" documentId="13_ncr:1_{BE3207A4-EB02-4FE3-A7DE-3B9DAC3158F0}" xr6:coauthVersionLast="47" xr6:coauthVersionMax="47" xr10:uidLastSave="{00000000-0000-0000-0000-000000000000}"/>
  <bookViews>
    <workbookView xWindow="-105" yWindow="0" windowWidth="19410" windowHeight="20985" xr2:uid="{4AD5CBED-8372-44A8-B2C4-3A6BCD43FD21}"/>
  </bookViews>
  <sheets>
    <sheet name="Tag List" sheetId="1" r:id="rId1"/>
    <sheet name="IO" sheetId="5" r:id="rId2"/>
    <sheet name="Enumerations" sheetId="3" r:id="rId3"/>
    <sheet name="Flow Rates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6" l="1"/>
  <c r="G9" i="6"/>
  <c r="F9" i="6"/>
  <c r="E9" i="6"/>
  <c r="D9" i="6"/>
  <c r="C9" i="6"/>
  <c r="B9" i="6"/>
  <c r="Q4" i="6"/>
  <c r="Q6" i="6"/>
  <c r="Q7" i="6"/>
  <c r="K2" i="6"/>
  <c r="K9" i="6" s="1"/>
  <c r="K3" i="6"/>
  <c r="K4" i="6"/>
  <c r="K5" i="6"/>
  <c r="K6" i="6"/>
  <c r="L2" i="6"/>
  <c r="L9" i="6" s="1"/>
  <c r="L3" i="6"/>
  <c r="L4" i="6"/>
  <c r="L5" i="6"/>
  <c r="L6" i="6"/>
  <c r="M2" i="6"/>
  <c r="M9" i="6" s="1"/>
  <c r="M3" i="6"/>
  <c r="M4" i="6"/>
  <c r="M5" i="6"/>
  <c r="M6" i="6"/>
  <c r="N2" i="6"/>
  <c r="N9" i="6" s="1"/>
  <c r="N3" i="6"/>
  <c r="N4" i="6"/>
  <c r="N5" i="6"/>
  <c r="N6" i="6"/>
  <c r="O2" i="6"/>
  <c r="O9" i="6" s="1"/>
  <c r="O4" i="6"/>
  <c r="O5" i="6"/>
  <c r="Q5" i="6" s="1"/>
  <c r="O6" i="6"/>
  <c r="K7" i="6"/>
  <c r="L7" i="6"/>
  <c r="M7" i="6"/>
  <c r="N7" i="6"/>
  <c r="O7" i="6"/>
  <c r="J2" i="6"/>
  <c r="J3" i="6"/>
  <c r="J4" i="6"/>
  <c r="J5" i="6"/>
  <c r="J6" i="6"/>
  <c r="J7" i="6"/>
  <c r="Q2" i="6" l="1"/>
  <c r="Q9" i="6" s="1"/>
  <c r="J9" i="6"/>
  <c r="Q3" i="6"/>
</calcChain>
</file>

<file path=xl/sharedStrings.xml><?xml version="1.0" encoding="utf-8"?>
<sst xmlns="http://schemas.openxmlformats.org/spreadsheetml/2006/main" count="309" uniqueCount="196">
  <si>
    <t>Data Type</t>
  </si>
  <si>
    <t>Read/Write</t>
  </si>
  <si>
    <t>Tag Name</t>
  </si>
  <si>
    <t>Read-Write</t>
  </si>
  <si>
    <t>Address</t>
  </si>
  <si>
    <t>01</t>
  </si>
  <si>
    <t>02</t>
  </si>
  <si>
    <t>03</t>
  </si>
  <si>
    <t>04</t>
  </si>
  <si>
    <t>05</t>
  </si>
  <si>
    <t>06</t>
  </si>
  <si>
    <t>07</t>
  </si>
  <si>
    <t>Pump Running</t>
  </si>
  <si>
    <t>Mixer Running</t>
  </si>
  <si>
    <t>Pump Speed</t>
  </si>
  <si>
    <t>Pump Direction</t>
  </si>
  <si>
    <t>Solenoid #0</t>
  </si>
  <si>
    <t>Discrete</t>
  </si>
  <si>
    <t>Solenoid #1</t>
  </si>
  <si>
    <t>Solenoid #2</t>
  </si>
  <si>
    <t>Solenoid #3</t>
  </si>
  <si>
    <t>Solenoid #4</t>
  </si>
  <si>
    <t>Solenoid #5</t>
  </si>
  <si>
    <t>Solenoid #6</t>
  </si>
  <si>
    <t>Unsigned_int_16</t>
  </si>
  <si>
    <t>08</t>
  </si>
  <si>
    <t>09</t>
  </si>
  <si>
    <t>41</t>
  </si>
  <si>
    <t>010</t>
  </si>
  <si>
    <t xml:space="preserve">Array Index </t>
  </si>
  <si>
    <t>MB_HR[0]</t>
  </si>
  <si>
    <t>MB_C[0]</t>
  </si>
  <si>
    <t>MB_C[1]</t>
  </si>
  <si>
    <t>MB_C[2]</t>
  </si>
  <si>
    <t>MB_C[3]</t>
  </si>
  <si>
    <t>MB_C[4]</t>
  </si>
  <si>
    <t>MB_C[5]</t>
  </si>
  <si>
    <t>MB_C[6]</t>
  </si>
  <si>
    <t>MB_C[7]</t>
  </si>
  <si>
    <t>MB_C[8]</t>
  </si>
  <si>
    <t>MB_C[9]</t>
  </si>
  <si>
    <t>Production Mode</t>
  </si>
  <si>
    <t>MB_C[10]</t>
  </si>
  <si>
    <t>MB_C[11]</t>
  </si>
  <si>
    <t>MB_C[12]</t>
  </si>
  <si>
    <t>MB_C[13]</t>
  </si>
  <si>
    <t>011</t>
  </si>
  <si>
    <t>013</t>
  </si>
  <si>
    <t>014</t>
  </si>
  <si>
    <t>Clean Mode</t>
  </si>
  <si>
    <t>Enum</t>
  </si>
  <si>
    <t>Index</t>
  </si>
  <si>
    <t>State/Message</t>
  </si>
  <si>
    <t>Nothing/Inactive</t>
  </si>
  <si>
    <t>Filling</t>
  </si>
  <si>
    <t>Filled</t>
  </si>
  <si>
    <t>Ready</t>
  </si>
  <si>
    <t>Bottle Station State #1</t>
  </si>
  <si>
    <t>Bottle Station State #2</t>
  </si>
  <si>
    <t>Bottle Station State #3</t>
  </si>
  <si>
    <t>Bottle Station State #4</t>
  </si>
  <si>
    <t>Bottle Station State #5</t>
  </si>
  <si>
    <t>Bottle Station State #6</t>
  </si>
  <si>
    <t>MB_HR[1]</t>
  </si>
  <si>
    <t>MB_HR[2]</t>
  </si>
  <si>
    <t>MB_HR[3]</t>
  </si>
  <si>
    <t>MB_HR[4]</t>
  </si>
  <si>
    <t>MB_HR[5]</t>
  </si>
  <si>
    <t>MB_HR[6]</t>
  </si>
  <si>
    <t>Production Phase</t>
  </si>
  <si>
    <t>Clean Phase</t>
  </si>
  <si>
    <t>MB_HR[7]</t>
  </si>
  <si>
    <t>MB_HR[8]</t>
  </si>
  <si>
    <t>Not Ready</t>
  </si>
  <si>
    <t>Bottle Count Target</t>
  </si>
  <si>
    <t>Current Bottle Count</t>
  </si>
  <si>
    <t>MB_HR[9]</t>
  </si>
  <si>
    <t>MB_HR[10]</t>
  </si>
  <si>
    <t>Bottle Size</t>
  </si>
  <si>
    <t>Not selected</t>
  </si>
  <si>
    <t>250ml</t>
  </si>
  <si>
    <t>120ml</t>
  </si>
  <si>
    <t>625ml</t>
  </si>
  <si>
    <t>MB_HR[11]</t>
  </si>
  <si>
    <t>Channel 1</t>
  </si>
  <si>
    <t>Channel 2</t>
  </si>
  <si>
    <t>Channel 3</t>
  </si>
  <si>
    <t>Channel 4</t>
  </si>
  <si>
    <t>Channel 5</t>
  </si>
  <si>
    <t>Channel 6</t>
  </si>
  <si>
    <t>Channel 7</t>
  </si>
  <si>
    <t>Channel 8</t>
  </si>
  <si>
    <t>Slot1 - Relay Card</t>
  </si>
  <si>
    <t>Valve 0 - MB_C[0]</t>
  </si>
  <si>
    <t>Valve 1 - MB_C[1]</t>
  </si>
  <si>
    <t>Valve 2 - MB_C[2]</t>
  </si>
  <si>
    <t>Valve 3 - MB_C[3]</t>
  </si>
  <si>
    <t>Valve 4 - MB_C[4]</t>
  </si>
  <si>
    <t>Valve 5 - MB_C[5]</t>
  </si>
  <si>
    <t>Valve 6 - MB_C[6]</t>
  </si>
  <si>
    <t>Pump On/Off - MB_C[7]</t>
  </si>
  <si>
    <t>Slot 3 - PWM Card</t>
  </si>
  <si>
    <t>Slot2 - Combo Discrete Card</t>
  </si>
  <si>
    <t>Channel 1 Input</t>
  </si>
  <si>
    <t>Channel 3 Input</t>
  </si>
  <si>
    <t>Channel 4 Input</t>
  </si>
  <si>
    <t>Channel 5 Input</t>
  </si>
  <si>
    <t>Channel 6 Input</t>
  </si>
  <si>
    <t>Channel 7 Input</t>
  </si>
  <si>
    <t>Channel 8 Input</t>
  </si>
  <si>
    <t>Channel 2 Input</t>
  </si>
  <si>
    <t>Channel 1 Output</t>
  </si>
  <si>
    <t>Channel 2 Output</t>
  </si>
  <si>
    <t>Channel 3 Output</t>
  </si>
  <si>
    <t>Channel 4 Output</t>
  </si>
  <si>
    <t>Channel 5 Output</t>
  </si>
  <si>
    <t>Channel 6 Output</t>
  </si>
  <si>
    <t>Channel 7 Output</t>
  </si>
  <si>
    <t>Mixer On/Off - MB_C[8]</t>
  </si>
  <si>
    <t>Pump Direction -MB_C[9]</t>
  </si>
  <si>
    <t>Pump Speed - MB_HR[0]</t>
  </si>
  <si>
    <t>E-stop / reset</t>
  </si>
  <si>
    <t>MB_HR[12]</t>
  </si>
  <si>
    <t>TimerMin</t>
  </si>
  <si>
    <t>TimerSec</t>
  </si>
  <si>
    <t>Manual Mode</t>
  </si>
  <si>
    <t>MB_C[14]</t>
  </si>
  <si>
    <t>015</t>
  </si>
  <si>
    <t>MB_HR[13]</t>
  </si>
  <si>
    <t>BottleSize</t>
  </si>
  <si>
    <t>Bottle Enumeration</t>
  </si>
  <si>
    <t xml:space="preserve">                                                                                                                                                   </t>
  </si>
  <si>
    <t>BottleGroup#2Ready</t>
  </si>
  <si>
    <t>BottleGroup#1Ready</t>
  </si>
  <si>
    <t>MB_C[15]</t>
  </si>
  <si>
    <t>MB_C[16]</t>
  </si>
  <si>
    <t>016</t>
  </si>
  <si>
    <t>017</t>
  </si>
  <si>
    <t>MB_C[17]</t>
  </si>
  <si>
    <t>MB_C[18]</t>
  </si>
  <si>
    <t>MB_C[19]</t>
  </si>
  <si>
    <t>MB_C[20]</t>
  </si>
  <si>
    <t>MB_C[21]</t>
  </si>
  <si>
    <t>MB_C[22]</t>
  </si>
  <si>
    <t>018</t>
  </si>
  <si>
    <t>019</t>
  </si>
  <si>
    <t>020</t>
  </si>
  <si>
    <t>021</t>
  </si>
  <si>
    <t>022</t>
  </si>
  <si>
    <t>023</t>
  </si>
  <si>
    <t>Solenoid #1 OOS</t>
  </si>
  <si>
    <t>Solenoid #2 OOS</t>
  </si>
  <si>
    <t>Solenoid #3 OOS</t>
  </si>
  <si>
    <t>Solenoid #4 OOS</t>
  </si>
  <si>
    <t>Solenoid #5 OOS</t>
  </si>
  <si>
    <t>Solenoid #6 OOS</t>
  </si>
  <si>
    <t>CalculatedTankVolume</t>
  </si>
  <si>
    <t>MB_HR[14]</t>
  </si>
  <si>
    <t>024</t>
  </si>
  <si>
    <t>025</t>
  </si>
  <si>
    <t>MB_C[23]</t>
  </si>
  <si>
    <t>MB_C[24]</t>
  </si>
  <si>
    <t>MB_C[25]</t>
  </si>
  <si>
    <t>026</t>
  </si>
  <si>
    <t>ProductionJog</t>
  </si>
  <si>
    <t>ProductionPause</t>
  </si>
  <si>
    <t>Ready Queued</t>
  </si>
  <si>
    <t>ProductionFinishPopUp</t>
  </si>
  <si>
    <t>E-Stop - MB_C[13]</t>
  </si>
  <si>
    <t>Station #1</t>
  </si>
  <si>
    <t>Station #2</t>
  </si>
  <si>
    <t>Station #3</t>
  </si>
  <si>
    <t>Station #4</t>
  </si>
  <si>
    <t>Station #5</t>
  </si>
  <si>
    <t>Station #6</t>
  </si>
  <si>
    <t>Gallon</t>
  </si>
  <si>
    <t xml:space="preserve"> </t>
  </si>
  <si>
    <t>AVG</t>
  </si>
  <si>
    <t>MB_HR[15]</t>
  </si>
  <si>
    <t>Station#1Offset</t>
  </si>
  <si>
    <t>MB_HR[16]</t>
  </si>
  <si>
    <t>MB_HR[17]</t>
  </si>
  <si>
    <t>MB_HR[18]</t>
  </si>
  <si>
    <t>MB_HR[19]</t>
  </si>
  <si>
    <t>MB_HR[21]</t>
  </si>
  <si>
    <t>Unused</t>
  </si>
  <si>
    <t>MB_HR[20]</t>
  </si>
  <si>
    <t>Station#2Offset</t>
  </si>
  <si>
    <t>Station#3Offset</t>
  </si>
  <si>
    <t>Station#4Offset</t>
  </si>
  <si>
    <t>Station#5Offset</t>
  </si>
  <si>
    <t>Station#6Offset</t>
  </si>
  <si>
    <t>int_16</t>
  </si>
  <si>
    <t>1 = 1/4 a sec</t>
  </si>
  <si>
    <t>012</t>
  </si>
  <si>
    <t>ParamterHide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</si>
</sst>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3" fillId="0" borderId="1" xfId="0" applyFont="1" applyBorder="1"/>
    <xf numFmtId="0" fontId="3" fillId="0" borderId="2" xfId="0" applyFont="1" applyBorder="1"/>
    <xf numFmtId="0" fontId="0" fillId="0" borderId="3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0" fillId="3" borderId="0" xfId="0" applyFill="1"/>
    <xf numFmtId="0" fontId="0" fillId="3" borderId="1" xfId="0" applyFill="1" applyBorder="1"/>
    <xf numFmtId="0" fontId="0" fillId="0" borderId="3" xfId="0" applyBorder="1"/>
    <xf numFmtId="0" fontId="3" fillId="0" borderId="0" xfId="0" applyFont="1" applyAlignment="1">
      <alignment horizontal="center"/>
    </xf>
    <xf numFmtId="0" fontId="0" fillId="0" borderId="4" xfId="0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Station #1</a:t>
            </a:r>
          </a:p>
        </c:rich>
      </c:tx>
      <c:layout>
        <c:manualLayout>
          <c:xMode val="edge"/>
          <c:yMode val="edge"/>
          <c:x val="0.4063123359580052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2895603674540682"/>
                  <c:y val="1.347222222222222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'Flow Rates'!$I$2:$I$7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xVal>
          <c:yVal>
            <c:numRef>
              <c:f>'Flow Rates'!$J$2:$J$7</c:f>
              <c:numCache>
                <c:formatCode>General</c:formatCode>
                <c:ptCount val="6"/>
                <c:pt idx="0">
                  <c:v>1437.6996805111821</c:v>
                </c:pt>
                <c:pt idx="1">
                  <c:v>1460.4462474645031</c:v>
                </c:pt>
                <c:pt idx="2">
                  <c:v>1495.6377233070211</c:v>
                </c:pt>
                <c:pt idx="3">
                  <c:v>1500</c:v>
                </c:pt>
                <c:pt idx="4">
                  <c:v>1565.2173913043478</c:v>
                </c:pt>
                <c:pt idx="5">
                  <c:v>1588.7025595763459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DF-4127-AABC-209E0A6FE9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9901375"/>
        <c:axId val="1789899935"/>
      </c:scatterChart>
      <c:valAx>
        <c:axId val="178990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Gallons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899935"/>
        <c:crosses val="autoZero"/>
        <c:crossBetween val="midCat"/>
      </c:valAx>
      <c:valAx>
        <c:axId val="1789899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Flow Rate (mL/min)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90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Station #3</a:t>
            </a:r>
          </a:p>
        </c:rich>
      </c:tx>
      <c:layout>
        <c:manualLayout>
          <c:xMode val="edge"/>
          <c:yMode val="edge"/>
          <c:x val="0.4063123359580052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2895603674540682"/>
                  <c:y val="4.212962962962962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'Flow Rates'!$I$2:$I$7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xVal>
          <c:yVal>
            <c:numRef>
              <c:f>'Flow Rates'!$L$2:$L$7</c:f>
              <c:numCache>
                <c:formatCode>General</c:formatCode>
                <c:ptCount val="6"/>
                <c:pt idx="0">
                  <c:v>1431.9809069212411</c:v>
                </c:pt>
                <c:pt idx="1">
                  <c:v>1444.6227929373995</c:v>
                </c:pt>
                <c:pt idx="2">
                  <c:v>1438.8489208633093</c:v>
                </c:pt>
                <c:pt idx="3">
                  <c:v>1466.9926650366749</c:v>
                </c:pt>
                <c:pt idx="4">
                  <c:v>1477.2260976610587</c:v>
                </c:pt>
                <c:pt idx="5">
                  <c:v>1575.4923413566739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7A6-4D2C-97D9-8795929DB2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9901375"/>
        <c:axId val="1789899935"/>
      </c:scatterChart>
      <c:valAx>
        <c:axId val="178990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Gallons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899935"/>
        <c:crosses val="autoZero"/>
        <c:crossBetween val="midCat"/>
      </c:valAx>
      <c:valAx>
        <c:axId val="1789899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Flow Rate (mL/min)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90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Station #5</a:t>
            </a:r>
          </a:p>
        </c:rich>
      </c:tx>
      <c:layout>
        <c:manualLayout>
          <c:xMode val="edge"/>
          <c:yMode val="edge"/>
          <c:x val="0.4063123359580052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2617825896762905"/>
                  <c:y val="-3.655584718576844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'Flow Rates'!$I$2:$I$7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xVal>
          <c:yVal>
            <c:numRef>
              <c:f>'Flow Rates'!$N$2:$N$7</c:f>
              <c:numCache>
                <c:formatCode>General</c:formatCode>
                <c:ptCount val="6"/>
                <c:pt idx="0">
                  <c:v>1387.8180416345413</c:v>
                </c:pt>
                <c:pt idx="1">
                  <c:v>1385.148133897653</c:v>
                </c:pt>
                <c:pt idx="2">
                  <c:v>1424.6141669964386</c:v>
                </c:pt>
                <c:pt idx="3">
                  <c:v>1412.3185562965871</c:v>
                </c:pt>
                <c:pt idx="4">
                  <c:v>1481.4814814814813</c:v>
                </c:pt>
                <c:pt idx="5">
                  <c:v>1578.255151249452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F6-4B73-AC2F-2EE688CE4C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9901375"/>
        <c:axId val="1789899935"/>
      </c:scatterChart>
      <c:valAx>
        <c:axId val="178990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Gallons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899935"/>
        <c:crosses val="autoZero"/>
        <c:crossBetween val="midCat"/>
      </c:valAx>
      <c:valAx>
        <c:axId val="1789899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Flow Rate (mL/min)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90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Station #2</a:t>
            </a:r>
          </a:p>
        </c:rich>
      </c:tx>
      <c:layout>
        <c:manualLayout>
          <c:xMode val="edge"/>
          <c:yMode val="edge"/>
          <c:x val="0.4063123359580052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845115923009624"/>
                  <c:y val="1.810185185185185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'Flow Rates'!$I$2:$I$7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xVal>
          <c:yVal>
            <c:numRef>
              <c:f>'Flow Rates'!$K$2:$K$7</c:f>
              <c:numCache>
                <c:formatCode>General</c:formatCode>
                <c:ptCount val="6"/>
                <c:pt idx="0">
                  <c:v>1434.2629482071713</c:v>
                </c:pt>
                <c:pt idx="1">
                  <c:v>1443.4643143544506</c:v>
                </c:pt>
                <c:pt idx="2">
                  <c:v>1472.39263803681</c:v>
                </c:pt>
                <c:pt idx="3">
                  <c:v>1525.4237288135591</c:v>
                </c:pt>
                <c:pt idx="4">
                  <c:v>1546.3917525773195</c:v>
                </c:pt>
                <c:pt idx="5">
                  <c:v>1528.6624203821655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13-49D3-9378-8BD36B738D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9901375"/>
        <c:axId val="1789899935"/>
      </c:scatterChart>
      <c:valAx>
        <c:axId val="178990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Gallons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899935"/>
        <c:crosses val="autoZero"/>
        <c:crossBetween val="midCat"/>
      </c:valAx>
      <c:valAx>
        <c:axId val="1789899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Flow Rate (mL/min)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90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Station #4</a:t>
            </a:r>
          </a:p>
        </c:rich>
      </c:tx>
      <c:layout>
        <c:manualLayout>
          <c:xMode val="edge"/>
          <c:yMode val="edge"/>
          <c:x val="0.4063123359580052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1106714785651798"/>
                  <c:y val="-0.1336811023622047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'Flow Rates'!$I$2:$I$7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xVal>
          <c:yVal>
            <c:numRef>
              <c:f>'Flow Rates'!$M$2:$M$7</c:f>
              <c:numCache>
                <c:formatCode>General</c:formatCode>
                <c:ptCount val="6"/>
                <c:pt idx="0">
                  <c:v>1379.8390187811422</c:v>
                </c:pt>
                <c:pt idx="1">
                  <c:v>1429.1385470424771</c:v>
                </c:pt>
                <c:pt idx="2">
                  <c:v>1335.8070500927645</c:v>
                </c:pt>
                <c:pt idx="3">
                  <c:v>1445.7831325301206</c:v>
                </c:pt>
                <c:pt idx="4">
                  <c:v>1457.48987854251</c:v>
                </c:pt>
                <c:pt idx="5">
                  <c:v>1589.4039735099338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370-409B-AA31-3081170714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9901375"/>
        <c:axId val="1789899935"/>
      </c:scatterChart>
      <c:valAx>
        <c:axId val="178990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Gallons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899935"/>
        <c:crosses val="autoZero"/>
        <c:crossBetween val="midCat"/>
      </c:valAx>
      <c:valAx>
        <c:axId val="1789899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Flow Rate (mL/min)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90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Station #6</a:t>
            </a:r>
          </a:p>
        </c:rich>
      </c:tx>
      <c:layout>
        <c:manualLayout>
          <c:xMode val="edge"/>
          <c:yMode val="edge"/>
          <c:x val="0.4063123359580052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9006714785651793"/>
                  <c:y val="-3.005978419364246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'Flow Rates'!$I$2:$I$7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xVal>
          <c:yVal>
            <c:numRef>
              <c:f>'Flow Rates'!$O$2:$O$7</c:f>
              <c:numCache>
                <c:formatCode>General</c:formatCode>
                <c:ptCount val="6"/>
                <c:pt idx="0">
                  <c:v>1410.6583072100314</c:v>
                </c:pt>
                <c:pt idx="1">
                  <c:v>1410.6583072100314</c:v>
                </c:pt>
                <c:pt idx="2">
                  <c:v>1443.4643143544506</c:v>
                </c:pt>
                <c:pt idx="3">
                  <c:v>1421.2396367943152</c:v>
                </c:pt>
                <c:pt idx="4">
                  <c:v>1448.1094127111826</c:v>
                </c:pt>
                <c:pt idx="5">
                  <c:v>1565.2173913043478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74-41D5-9B6E-0BC25623F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9901375"/>
        <c:axId val="1789899935"/>
      </c:scatterChart>
      <c:valAx>
        <c:axId val="178990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Gallons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899935"/>
        <c:crosses val="autoZero"/>
        <c:crossBetween val="midCat"/>
      </c:valAx>
      <c:valAx>
        <c:axId val="1789899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Flow Rate (mL/min)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90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200025</xdr:colOff>
      <xdr:row>0</xdr:row>
      <xdr:rowOff>123825</xdr:rowOff>
    </xdr:from>
    <xdr:to>
      <xdr:col>6</xdr:col>
      <xdr:colOff>571892</xdr:colOff>
      <xdr:row>9</xdr:row>
      <xdr:rowOff>181224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F391FED-F022-AAC0-997B-BDA0B71CE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24075" y="123825"/>
          <a:ext cx="2810267" cy="17814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176212</xdr:rowOff>
    </xdr:from>
    <xdr:to>
      <xdr:col>8</xdr:col>
      <xdr:colOff>76200</xdr:colOff>
      <xdr:row>25</xdr:row>
      <xdr:rowOff>61912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629AC5F-0F58-FBBC-0D03-D1EB3C8F3B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8</xdr:col>
      <xdr:colOff>76200</xdr:colOff>
      <xdr:row>40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0A37642-5FAD-4382-BEDF-55C6F1F982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41</xdr:row>
      <xdr:rowOff>0</xdr:rowOff>
    </xdr:from>
    <xdr:to>
      <xdr:col>8</xdr:col>
      <xdr:colOff>76200</xdr:colOff>
      <xdr:row>55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960D3C-D6EF-4D29-BEBF-8D8AD68249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11</xdr:row>
      <xdr:rowOff>0</xdr:rowOff>
    </xdr:from>
    <xdr:to>
      <xdr:col>14</xdr:col>
      <xdr:colOff>571500</xdr:colOff>
      <xdr:row>25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E33DC22-9435-4506-A3EE-00F5BF016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0</xdr:colOff>
      <xdr:row>26</xdr:row>
      <xdr:rowOff>28575</xdr:rowOff>
    </xdr:from>
    <xdr:to>
      <xdr:col>14</xdr:col>
      <xdr:colOff>571500</xdr:colOff>
      <xdr:row>40</xdr:row>
      <xdr:rowOff>104775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DEC17A1-77AD-4A0B-A29C-E2CE83A271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0</xdr:colOff>
      <xdr:row>41</xdr:row>
      <xdr:rowOff>0</xdr:rowOff>
    </xdr:from>
    <xdr:to>
      <xdr:col>14</xdr:col>
      <xdr:colOff>571500</xdr:colOff>
      <xdr:row>55</xdr:row>
      <xdr:rowOff>76200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8352C7A-E7EA-491D-A851-6D72614751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83887-8404-42FC-A14C-0D59A783FB69}">
  <dimension ref="A1:J48"/>
  <sheetViews>
    <sheetView tabSelected="1" topLeftCell="A4" workbookViewId="0">
      <selection activeCell="O43" sqref="O43"/>
    </sheetView>
  </sheetViews>
  <sheetFormatPr defaultRowHeight="15" x14ac:dyDescent="0.25"/>
  <cols>
    <col min="1" max="1" width="22.42578125" bestFit="1" customWidth="1"/>
    <col min="2" max="2" width="15.42578125" bestFit="1" customWidth="1"/>
    <col min="3" max="3" width="12.85546875" customWidth="1"/>
    <col min="4" max="4" width="9.140625" style="3"/>
    <col min="5" max="5" width="11.42578125" bestFit="1" customWidth="1"/>
    <col min="6" max="6" width="11.85546875" bestFit="1" customWidth="1"/>
    <col min="10" max="10" width="20.5703125" bestFit="1" customWidth="1"/>
  </cols>
  <sheetData>
    <row r="1" spans="1:10" x14ac:dyDescent="0.25">
      <c r="A1" s="1" t="s">
        <v>2</v>
      </c>
      <c r="B1" s="1" t="s">
        <v>0</v>
      </c>
      <c r="C1" s="1" t="s">
        <v>1</v>
      </c>
      <c r="D1" s="1" t="s">
        <v>4</v>
      </c>
      <c r="E1" s="1" t="s">
        <v>29</v>
      </c>
    </row>
    <row r="2" spans="1:10" x14ac:dyDescent="0.25">
      <c r="A2" s="2" t="s">
        <v>16</v>
      </c>
      <c r="B2" s="2" t="s">
        <v>17</v>
      </c>
      <c r="C2" s="2" t="s">
        <v>3</v>
      </c>
      <c r="D2" s="2" t="s">
        <v>5</v>
      </c>
      <c r="E2" s="2" t="s">
        <v>31</v>
      </c>
    </row>
    <row r="3" spans="1:10" x14ac:dyDescent="0.25">
      <c r="A3" s="2" t="s">
        <v>18</v>
      </c>
      <c r="B3" s="2" t="s">
        <v>17</v>
      </c>
      <c r="C3" s="2" t="s">
        <v>3</v>
      </c>
      <c r="D3" s="2" t="s">
        <v>6</v>
      </c>
      <c r="E3" s="2" t="s">
        <v>32</v>
      </c>
    </row>
    <row r="4" spans="1:10" x14ac:dyDescent="0.25">
      <c r="A4" s="2" t="s">
        <v>19</v>
      </c>
      <c r="B4" s="2" t="s">
        <v>17</v>
      </c>
      <c r="C4" s="2" t="s">
        <v>3</v>
      </c>
      <c r="D4" s="2" t="s">
        <v>7</v>
      </c>
      <c r="E4" s="2" t="s">
        <v>33</v>
      </c>
    </row>
    <row r="5" spans="1:10" x14ac:dyDescent="0.25">
      <c r="A5" s="2" t="s">
        <v>20</v>
      </c>
      <c r="B5" s="2" t="s">
        <v>17</v>
      </c>
      <c r="C5" s="2" t="s">
        <v>3</v>
      </c>
      <c r="D5" s="2" t="s">
        <v>8</v>
      </c>
      <c r="E5" s="2" t="s">
        <v>34</v>
      </c>
    </row>
    <row r="6" spans="1:10" x14ac:dyDescent="0.25">
      <c r="A6" s="2" t="s">
        <v>21</v>
      </c>
      <c r="B6" s="2" t="s">
        <v>17</v>
      </c>
      <c r="C6" s="2" t="s">
        <v>3</v>
      </c>
      <c r="D6" s="2" t="s">
        <v>9</v>
      </c>
      <c r="E6" s="2" t="s">
        <v>35</v>
      </c>
    </row>
    <row r="7" spans="1:10" x14ac:dyDescent="0.25">
      <c r="A7" s="2" t="s">
        <v>22</v>
      </c>
      <c r="B7" s="2" t="s">
        <v>17</v>
      </c>
      <c r="C7" s="2" t="s">
        <v>3</v>
      </c>
      <c r="D7" s="2" t="s">
        <v>10</v>
      </c>
      <c r="E7" s="2" t="s">
        <v>36</v>
      </c>
      <c r="J7" s="14"/>
    </row>
    <row r="8" spans="1:10" x14ac:dyDescent="0.25">
      <c r="A8" s="2" t="s">
        <v>23</v>
      </c>
      <c r="B8" s="2" t="s">
        <v>17</v>
      </c>
      <c r="C8" s="2" t="s">
        <v>3</v>
      </c>
      <c r="D8" s="2" t="s">
        <v>11</v>
      </c>
      <c r="E8" s="2" t="s">
        <v>37</v>
      </c>
      <c r="J8" s="3"/>
    </row>
    <row r="9" spans="1:10" x14ac:dyDescent="0.25">
      <c r="A9" s="2" t="s">
        <v>12</v>
      </c>
      <c r="B9" s="2" t="s">
        <v>17</v>
      </c>
      <c r="C9" s="2" t="s">
        <v>3</v>
      </c>
      <c r="D9" s="2" t="s">
        <v>25</v>
      </c>
      <c r="E9" s="2" t="s">
        <v>38</v>
      </c>
      <c r="J9" s="3"/>
    </row>
    <row r="10" spans="1:10" x14ac:dyDescent="0.25">
      <c r="A10" s="2" t="s">
        <v>13</v>
      </c>
      <c r="B10" s="2" t="s">
        <v>17</v>
      </c>
      <c r="C10" s="2" t="s">
        <v>3</v>
      </c>
      <c r="D10" s="2" t="s">
        <v>26</v>
      </c>
      <c r="E10" s="2" t="s">
        <v>39</v>
      </c>
      <c r="J10" s="3"/>
    </row>
    <row r="11" spans="1:10" x14ac:dyDescent="0.25">
      <c r="A11" s="2" t="s">
        <v>14</v>
      </c>
      <c r="B11" s="2" t="s">
        <v>24</v>
      </c>
      <c r="C11" s="2" t="s">
        <v>3</v>
      </c>
      <c r="D11" s="2" t="s">
        <v>27</v>
      </c>
      <c r="E11" s="2" t="s">
        <v>30</v>
      </c>
      <c r="J11" s="3"/>
    </row>
    <row r="12" spans="1:10" x14ac:dyDescent="0.25">
      <c r="A12" s="2" t="s">
        <v>15</v>
      </c>
      <c r="B12" s="2" t="s">
        <v>17</v>
      </c>
      <c r="C12" s="2" t="s">
        <v>3</v>
      </c>
      <c r="D12" s="2" t="s">
        <v>28</v>
      </c>
      <c r="E12" s="2" t="s">
        <v>40</v>
      </c>
      <c r="J12" s="3"/>
    </row>
    <row r="13" spans="1:10" x14ac:dyDescent="0.25">
      <c r="A13" s="2" t="s">
        <v>49</v>
      </c>
      <c r="B13" s="2" t="s">
        <v>17</v>
      </c>
      <c r="C13" s="2" t="s">
        <v>3</v>
      </c>
      <c r="D13" s="4" t="s">
        <v>46</v>
      </c>
      <c r="E13" s="2" t="s">
        <v>42</v>
      </c>
      <c r="G13" s="15" t="s">
        <v>185</v>
      </c>
    </row>
    <row r="14" spans="1:10" x14ac:dyDescent="0.25">
      <c r="A14" s="2" t="s">
        <v>195</v>
      </c>
      <c r="B14" s="2" t="s">
        <v>17</v>
      </c>
      <c r="C14" s="2" t="s">
        <v>3</v>
      </c>
      <c r="D14" s="4" t="s">
        <v>194</v>
      </c>
      <c r="E14" s="2" t="s">
        <v>43</v>
      </c>
      <c r="G14" s="15"/>
    </row>
    <row r="15" spans="1:10" x14ac:dyDescent="0.25">
      <c r="A15" s="2" t="s">
        <v>41</v>
      </c>
      <c r="B15" s="2" t="s">
        <v>17</v>
      </c>
      <c r="C15" s="2" t="s">
        <v>3</v>
      </c>
      <c r="D15" s="4" t="s">
        <v>47</v>
      </c>
      <c r="E15" s="2" t="s">
        <v>44</v>
      </c>
      <c r="G15" s="16" t="s">
        <v>43</v>
      </c>
    </row>
    <row r="16" spans="1:10" x14ac:dyDescent="0.25">
      <c r="A16" s="2" t="s">
        <v>121</v>
      </c>
      <c r="B16" s="2" t="s">
        <v>17</v>
      </c>
      <c r="C16" s="2" t="s">
        <v>3</v>
      </c>
      <c r="D16" s="4" t="s">
        <v>48</v>
      </c>
      <c r="E16" s="2" t="s">
        <v>45</v>
      </c>
      <c r="G16" s="10" t="s">
        <v>71</v>
      </c>
    </row>
    <row r="17" spans="1:7" x14ac:dyDescent="0.25">
      <c r="A17" s="2" t="s">
        <v>57</v>
      </c>
      <c r="B17" s="2" t="s">
        <v>50</v>
      </c>
      <c r="C17" s="2" t="s">
        <v>3</v>
      </c>
      <c r="D17" s="2">
        <v>42</v>
      </c>
      <c r="E17" s="2" t="s">
        <v>63</v>
      </c>
      <c r="G17" s="10" t="s">
        <v>72</v>
      </c>
    </row>
    <row r="18" spans="1:7" x14ac:dyDescent="0.25">
      <c r="A18" s="2" t="s">
        <v>58</v>
      </c>
      <c r="B18" s="2" t="s">
        <v>50</v>
      </c>
      <c r="C18" s="2" t="s">
        <v>3</v>
      </c>
      <c r="D18" s="2">
        <v>43</v>
      </c>
      <c r="E18" s="2" t="s">
        <v>64</v>
      </c>
      <c r="G18" s="16" t="s">
        <v>178</v>
      </c>
    </row>
    <row r="19" spans="1:7" x14ac:dyDescent="0.25">
      <c r="A19" s="2" t="s">
        <v>59</v>
      </c>
      <c r="B19" s="2" t="s">
        <v>50</v>
      </c>
      <c r="C19" s="2" t="s">
        <v>3</v>
      </c>
      <c r="D19" s="2">
        <v>44</v>
      </c>
      <c r="E19" s="2" t="s">
        <v>65</v>
      </c>
    </row>
    <row r="20" spans="1:7" x14ac:dyDescent="0.25">
      <c r="A20" s="2" t="s">
        <v>60</v>
      </c>
      <c r="B20" s="2" t="s">
        <v>50</v>
      </c>
      <c r="C20" s="2" t="s">
        <v>3</v>
      </c>
      <c r="D20" s="2">
        <v>45</v>
      </c>
      <c r="E20" s="2" t="s">
        <v>66</v>
      </c>
    </row>
    <row r="21" spans="1:7" x14ac:dyDescent="0.25">
      <c r="A21" s="2" t="s">
        <v>61</v>
      </c>
      <c r="B21" s="2" t="s">
        <v>50</v>
      </c>
      <c r="C21" s="2" t="s">
        <v>3</v>
      </c>
      <c r="D21" s="2">
        <v>46</v>
      </c>
      <c r="E21" s="2" t="s">
        <v>67</v>
      </c>
    </row>
    <row r="22" spans="1:7" x14ac:dyDescent="0.25">
      <c r="A22" s="2" t="s">
        <v>62</v>
      </c>
      <c r="B22" s="2" t="s">
        <v>50</v>
      </c>
      <c r="C22" s="2" t="s">
        <v>3</v>
      </c>
      <c r="D22" s="2">
        <v>47</v>
      </c>
      <c r="E22" s="2" t="s">
        <v>68</v>
      </c>
    </row>
    <row r="23" spans="1:7" x14ac:dyDescent="0.25">
      <c r="A23" s="10" t="s">
        <v>69</v>
      </c>
      <c r="B23" s="10" t="s">
        <v>50</v>
      </c>
      <c r="C23" s="10" t="s">
        <v>3</v>
      </c>
      <c r="D23" s="10">
        <v>48</v>
      </c>
      <c r="E23" s="10" t="s">
        <v>71</v>
      </c>
    </row>
    <row r="24" spans="1:7" x14ac:dyDescent="0.25">
      <c r="A24" s="10" t="s">
        <v>70</v>
      </c>
      <c r="B24" s="10" t="s">
        <v>50</v>
      </c>
      <c r="C24" s="10" t="s">
        <v>3</v>
      </c>
      <c r="D24" s="10">
        <v>49</v>
      </c>
      <c r="E24" s="10" t="s">
        <v>72</v>
      </c>
    </row>
    <row r="25" spans="1:7" x14ac:dyDescent="0.25">
      <c r="A25" s="2" t="s">
        <v>74</v>
      </c>
      <c r="B25" s="2" t="s">
        <v>24</v>
      </c>
      <c r="C25" s="2" t="s">
        <v>3</v>
      </c>
      <c r="D25" s="2">
        <v>410</v>
      </c>
      <c r="E25" s="2" t="s">
        <v>76</v>
      </c>
    </row>
    <row r="26" spans="1:7" x14ac:dyDescent="0.25">
      <c r="A26" s="2" t="s">
        <v>75</v>
      </c>
      <c r="B26" s="2" t="s">
        <v>24</v>
      </c>
      <c r="C26" s="2" t="s">
        <v>3</v>
      </c>
      <c r="D26" s="2">
        <v>411</v>
      </c>
      <c r="E26" s="2" t="s">
        <v>77</v>
      </c>
    </row>
    <row r="27" spans="1:7" x14ac:dyDescent="0.25">
      <c r="A27" s="2" t="s">
        <v>124</v>
      </c>
      <c r="B27" s="2" t="s">
        <v>24</v>
      </c>
      <c r="C27" s="2" t="s">
        <v>3</v>
      </c>
      <c r="D27" s="2">
        <v>412</v>
      </c>
      <c r="E27" s="2" t="s">
        <v>83</v>
      </c>
    </row>
    <row r="28" spans="1:7" x14ac:dyDescent="0.25">
      <c r="A28" s="2" t="s">
        <v>123</v>
      </c>
      <c r="B28" s="2" t="s">
        <v>24</v>
      </c>
      <c r="C28" s="2" t="s">
        <v>3</v>
      </c>
      <c r="D28" s="2">
        <v>413</v>
      </c>
      <c r="E28" s="2" t="s">
        <v>122</v>
      </c>
    </row>
    <row r="29" spans="1:7" x14ac:dyDescent="0.25">
      <c r="A29" s="2" t="s">
        <v>125</v>
      </c>
      <c r="B29" s="2" t="s">
        <v>17</v>
      </c>
      <c r="C29" s="2" t="s">
        <v>3</v>
      </c>
      <c r="D29" s="4" t="s">
        <v>127</v>
      </c>
      <c r="E29" s="2" t="s">
        <v>126</v>
      </c>
    </row>
    <row r="30" spans="1:7" x14ac:dyDescent="0.25">
      <c r="A30" s="2" t="s">
        <v>129</v>
      </c>
      <c r="B30" s="2" t="s">
        <v>50</v>
      </c>
      <c r="C30" s="2" t="s">
        <v>3</v>
      </c>
      <c r="D30" s="2">
        <v>414</v>
      </c>
      <c r="E30" s="2" t="s">
        <v>128</v>
      </c>
    </row>
    <row r="31" spans="1:7" x14ac:dyDescent="0.25">
      <c r="A31" s="2" t="s">
        <v>133</v>
      </c>
      <c r="B31" s="2" t="s">
        <v>17</v>
      </c>
      <c r="C31" s="2" t="s">
        <v>3</v>
      </c>
      <c r="D31" s="4" t="s">
        <v>136</v>
      </c>
      <c r="E31" s="2" t="s">
        <v>134</v>
      </c>
    </row>
    <row r="32" spans="1:7" x14ac:dyDescent="0.25">
      <c r="A32" s="2" t="s">
        <v>132</v>
      </c>
      <c r="B32" s="2" t="s">
        <v>17</v>
      </c>
      <c r="C32" s="2" t="s">
        <v>3</v>
      </c>
      <c r="D32" s="4" t="s">
        <v>137</v>
      </c>
      <c r="E32" s="2" t="s">
        <v>135</v>
      </c>
    </row>
    <row r="33" spans="1:6" x14ac:dyDescent="0.25">
      <c r="A33" s="2" t="s">
        <v>150</v>
      </c>
      <c r="B33" s="2" t="s">
        <v>17</v>
      </c>
      <c r="C33" s="2" t="s">
        <v>3</v>
      </c>
      <c r="D33" s="4" t="s">
        <v>144</v>
      </c>
      <c r="E33" s="2" t="s">
        <v>138</v>
      </c>
    </row>
    <row r="34" spans="1:6" x14ac:dyDescent="0.25">
      <c r="A34" s="2" t="s">
        <v>151</v>
      </c>
      <c r="B34" s="2" t="s">
        <v>17</v>
      </c>
      <c r="C34" s="2" t="s">
        <v>3</v>
      </c>
      <c r="D34" s="4" t="s">
        <v>145</v>
      </c>
      <c r="E34" s="2" t="s">
        <v>139</v>
      </c>
    </row>
    <row r="35" spans="1:6" x14ac:dyDescent="0.25">
      <c r="A35" s="2" t="s">
        <v>152</v>
      </c>
      <c r="B35" s="2" t="s">
        <v>17</v>
      </c>
      <c r="C35" s="2" t="s">
        <v>3</v>
      </c>
      <c r="D35" s="4" t="s">
        <v>146</v>
      </c>
      <c r="E35" s="2" t="s">
        <v>140</v>
      </c>
    </row>
    <row r="36" spans="1:6" x14ac:dyDescent="0.25">
      <c r="A36" s="2" t="s">
        <v>153</v>
      </c>
      <c r="B36" s="2" t="s">
        <v>17</v>
      </c>
      <c r="C36" s="2" t="s">
        <v>3</v>
      </c>
      <c r="D36" s="4" t="s">
        <v>147</v>
      </c>
      <c r="E36" s="2" t="s">
        <v>141</v>
      </c>
    </row>
    <row r="37" spans="1:6" x14ac:dyDescent="0.25">
      <c r="A37" s="2" t="s">
        <v>154</v>
      </c>
      <c r="B37" s="2" t="s">
        <v>17</v>
      </c>
      <c r="C37" s="2" t="s">
        <v>3</v>
      </c>
      <c r="D37" s="4" t="s">
        <v>148</v>
      </c>
      <c r="E37" s="2" t="s">
        <v>142</v>
      </c>
    </row>
    <row r="38" spans="1:6" x14ac:dyDescent="0.25">
      <c r="A38" s="2" t="s">
        <v>155</v>
      </c>
      <c r="B38" s="2" t="s">
        <v>17</v>
      </c>
      <c r="C38" s="2" t="s">
        <v>3</v>
      </c>
      <c r="D38" s="4" t="s">
        <v>149</v>
      </c>
      <c r="E38" s="2" t="s">
        <v>143</v>
      </c>
    </row>
    <row r="39" spans="1:6" x14ac:dyDescent="0.25">
      <c r="A39" s="2" t="s">
        <v>156</v>
      </c>
      <c r="B39" s="2" t="s">
        <v>24</v>
      </c>
      <c r="C39" s="2" t="s">
        <v>3</v>
      </c>
      <c r="D39" s="2">
        <v>415</v>
      </c>
      <c r="E39" s="2" t="s">
        <v>157</v>
      </c>
    </row>
    <row r="40" spans="1:6" x14ac:dyDescent="0.25">
      <c r="A40" s="2" t="s">
        <v>164</v>
      </c>
      <c r="B40" s="2" t="s">
        <v>17</v>
      </c>
      <c r="C40" s="2" t="s">
        <v>3</v>
      </c>
      <c r="D40" s="4" t="s">
        <v>158</v>
      </c>
      <c r="E40" s="2" t="s">
        <v>160</v>
      </c>
    </row>
    <row r="41" spans="1:6" x14ac:dyDescent="0.25">
      <c r="A41" s="2" t="s">
        <v>165</v>
      </c>
      <c r="B41" s="2" t="s">
        <v>17</v>
      </c>
      <c r="C41" s="2" t="s">
        <v>3</v>
      </c>
      <c r="D41" s="4" t="s">
        <v>159</v>
      </c>
      <c r="E41" s="2" t="s">
        <v>161</v>
      </c>
    </row>
    <row r="42" spans="1:6" x14ac:dyDescent="0.25">
      <c r="A42" s="9" t="s">
        <v>167</v>
      </c>
      <c r="B42" s="2" t="s">
        <v>17</v>
      </c>
      <c r="C42" s="2" t="s">
        <v>3</v>
      </c>
      <c r="D42" s="4" t="s">
        <v>163</v>
      </c>
      <c r="E42" s="2" t="s">
        <v>162</v>
      </c>
    </row>
    <row r="43" spans="1:6" x14ac:dyDescent="0.25">
      <c r="A43" s="2" t="s">
        <v>179</v>
      </c>
      <c r="B43" s="2" t="s">
        <v>192</v>
      </c>
      <c r="C43" s="2" t="s">
        <v>3</v>
      </c>
      <c r="D43" s="2">
        <v>417</v>
      </c>
      <c r="E43" s="2" t="s">
        <v>180</v>
      </c>
      <c r="F43" s="9" t="s">
        <v>193</v>
      </c>
    </row>
    <row r="44" spans="1:6" x14ac:dyDescent="0.25">
      <c r="A44" s="2" t="s">
        <v>187</v>
      </c>
      <c r="B44" s="2" t="s">
        <v>192</v>
      </c>
      <c r="C44" s="2" t="s">
        <v>3</v>
      </c>
      <c r="D44" s="2">
        <v>418</v>
      </c>
      <c r="E44" s="2" t="s">
        <v>181</v>
      </c>
      <c r="F44" s="9" t="s">
        <v>193</v>
      </c>
    </row>
    <row r="45" spans="1:6" x14ac:dyDescent="0.25">
      <c r="A45" s="2" t="s">
        <v>188</v>
      </c>
      <c r="B45" s="2" t="s">
        <v>192</v>
      </c>
      <c r="C45" s="2" t="s">
        <v>3</v>
      </c>
      <c r="D45" s="2">
        <v>419</v>
      </c>
      <c r="E45" s="2" t="s">
        <v>182</v>
      </c>
      <c r="F45" s="9" t="s">
        <v>193</v>
      </c>
    </row>
    <row r="46" spans="1:6" x14ac:dyDescent="0.25">
      <c r="A46" s="2" t="s">
        <v>189</v>
      </c>
      <c r="B46" s="2" t="s">
        <v>192</v>
      </c>
      <c r="C46" s="2" t="s">
        <v>3</v>
      </c>
      <c r="D46" s="2">
        <v>420</v>
      </c>
      <c r="E46" s="2" t="s">
        <v>183</v>
      </c>
      <c r="F46" s="9" t="s">
        <v>193</v>
      </c>
    </row>
    <row r="47" spans="1:6" x14ac:dyDescent="0.25">
      <c r="A47" s="2" t="s">
        <v>190</v>
      </c>
      <c r="B47" s="2" t="s">
        <v>192</v>
      </c>
      <c r="C47" s="2" t="s">
        <v>3</v>
      </c>
      <c r="D47" s="2">
        <v>421</v>
      </c>
      <c r="E47" s="2" t="s">
        <v>186</v>
      </c>
      <c r="F47" s="9" t="s">
        <v>193</v>
      </c>
    </row>
    <row r="48" spans="1:6" x14ac:dyDescent="0.25">
      <c r="A48" s="2" t="s">
        <v>191</v>
      </c>
      <c r="B48" s="2" t="s">
        <v>192</v>
      </c>
      <c r="C48" s="2" t="s">
        <v>3</v>
      </c>
      <c r="D48" s="2">
        <v>422</v>
      </c>
      <c r="E48" s="2" t="s">
        <v>184</v>
      </c>
      <c r="F48" s="9" t="s">
        <v>193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4BE96-27F6-4F6E-803F-A5463698A879}">
  <dimension ref="A1:F16"/>
  <sheetViews>
    <sheetView workbookViewId="0">
      <selection activeCell="B36" sqref="B36"/>
    </sheetView>
  </sheetViews>
  <sheetFormatPr defaultRowHeight="15" x14ac:dyDescent="0.25"/>
  <cols>
    <col min="1" max="1" width="15.140625" customWidth="1"/>
    <col min="2" max="2" width="26.5703125" customWidth="1"/>
    <col min="3" max="3" width="16.28515625" bestFit="1" customWidth="1"/>
    <col min="4" max="4" width="27.140625" bestFit="1" customWidth="1"/>
    <col min="5" max="5" width="25.85546875" customWidth="1"/>
    <col min="6" max="6" width="22" bestFit="1" customWidth="1"/>
  </cols>
  <sheetData>
    <row r="1" spans="1:6" x14ac:dyDescent="0.25">
      <c r="A1" s="5"/>
      <c r="B1" s="8" t="s">
        <v>92</v>
      </c>
      <c r="C1" s="5"/>
      <c r="D1" s="7" t="s">
        <v>102</v>
      </c>
      <c r="F1" s="7" t="s">
        <v>101</v>
      </c>
    </row>
    <row r="2" spans="1:6" x14ac:dyDescent="0.25">
      <c r="A2" s="5" t="s">
        <v>84</v>
      </c>
      <c r="B2" s="6" t="s">
        <v>93</v>
      </c>
      <c r="C2" s="5" t="s">
        <v>103</v>
      </c>
      <c r="D2" s="5" t="s">
        <v>168</v>
      </c>
      <c r="E2" s="6" t="s">
        <v>84</v>
      </c>
      <c r="F2" s="5" t="s">
        <v>120</v>
      </c>
    </row>
    <row r="3" spans="1:6" x14ac:dyDescent="0.25">
      <c r="A3" s="5" t="s">
        <v>85</v>
      </c>
      <c r="B3" s="6" t="s">
        <v>94</v>
      </c>
      <c r="C3" s="5" t="s">
        <v>110</v>
      </c>
      <c r="D3" s="5"/>
      <c r="E3" s="6" t="s">
        <v>85</v>
      </c>
      <c r="F3" s="5"/>
    </row>
    <row r="4" spans="1:6" x14ac:dyDescent="0.25">
      <c r="A4" s="5" t="s">
        <v>86</v>
      </c>
      <c r="B4" s="6" t="s">
        <v>95</v>
      </c>
      <c r="C4" s="5" t="s">
        <v>104</v>
      </c>
      <c r="D4" s="5"/>
      <c r="E4" s="6" t="s">
        <v>86</v>
      </c>
      <c r="F4" s="5"/>
    </row>
    <row r="5" spans="1:6" x14ac:dyDescent="0.25">
      <c r="A5" s="5" t="s">
        <v>87</v>
      </c>
      <c r="B5" s="6" t="s">
        <v>96</v>
      </c>
      <c r="C5" s="5" t="s">
        <v>105</v>
      </c>
      <c r="D5" s="5"/>
      <c r="E5" s="6" t="s">
        <v>87</v>
      </c>
      <c r="F5" s="5"/>
    </row>
    <row r="6" spans="1:6" x14ac:dyDescent="0.25">
      <c r="A6" s="5" t="s">
        <v>88</v>
      </c>
      <c r="B6" s="6" t="s">
        <v>97</v>
      </c>
      <c r="C6" s="5" t="s">
        <v>106</v>
      </c>
      <c r="D6" s="5"/>
    </row>
    <row r="7" spans="1:6" x14ac:dyDescent="0.25">
      <c r="A7" s="5" t="s">
        <v>89</v>
      </c>
      <c r="B7" s="6" t="s">
        <v>98</v>
      </c>
      <c r="C7" s="5" t="s">
        <v>107</v>
      </c>
      <c r="D7" s="5"/>
    </row>
    <row r="8" spans="1:6" x14ac:dyDescent="0.25">
      <c r="A8" s="5" t="s">
        <v>90</v>
      </c>
      <c r="B8" s="6" t="s">
        <v>99</v>
      </c>
      <c r="C8" s="5" t="s">
        <v>108</v>
      </c>
      <c r="D8" s="5"/>
    </row>
    <row r="9" spans="1:6" x14ac:dyDescent="0.25">
      <c r="A9" s="5" t="s">
        <v>91</v>
      </c>
      <c r="B9" s="6" t="s">
        <v>100</v>
      </c>
      <c r="C9" s="5" t="s">
        <v>109</v>
      </c>
      <c r="D9" s="5"/>
    </row>
    <row r="10" spans="1:6" x14ac:dyDescent="0.25">
      <c r="C10" s="5" t="s">
        <v>111</v>
      </c>
      <c r="D10" s="5" t="s">
        <v>118</v>
      </c>
    </row>
    <row r="11" spans="1:6" x14ac:dyDescent="0.25">
      <c r="C11" s="5" t="s">
        <v>112</v>
      </c>
      <c r="D11" s="5" t="s">
        <v>119</v>
      </c>
    </row>
    <row r="12" spans="1:6" x14ac:dyDescent="0.25">
      <c r="C12" s="5" t="s">
        <v>113</v>
      </c>
      <c r="D12" s="5"/>
    </row>
    <row r="13" spans="1:6" x14ac:dyDescent="0.25">
      <c r="C13" s="5" t="s">
        <v>114</v>
      </c>
      <c r="D13" s="5"/>
    </row>
    <row r="14" spans="1:6" x14ac:dyDescent="0.25">
      <c r="C14" s="5" t="s">
        <v>115</v>
      </c>
      <c r="D14" s="5"/>
    </row>
    <row r="15" spans="1:6" x14ac:dyDescent="0.25">
      <c r="C15" s="5" t="s">
        <v>116</v>
      </c>
      <c r="D15" s="5"/>
    </row>
    <row r="16" spans="1:6" x14ac:dyDescent="0.25">
      <c r="C16" s="5" t="s">
        <v>117</v>
      </c>
      <c r="D16" s="5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C8759-0075-4285-91DE-EA86799B1A2B}">
  <dimension ref="A1:J41"/>
  <sheetViews>
    <sheetView workbookViewId="0">
      <selection activeCell="N27" sqref="N27"/>
    </sheetView>
  </sheetViews>
  <sheetFormatPr defaultRowHeight="15" x14ac:dyDescent="0.25"/>
  <cols>
    <col min="1" max="1" width="11" bestFit="1" customWidth="1"/>
    <col min="2" max="2" width="17.85546875" bestFit="1" customWidth="1"/>
  </cols>
  <sheetData>
    <row r="1" spans="1:10" x14ac:dyDescent="0.25">
      <c r="A1" s="17" t="s">
        <v>130</v>
      </c>
      <c r="B1" s="17"/>
    </row>
    <row r="2" spans="1:10" ht="15.75" customHeight="1" x14ac:dyDescent="0.25">
      <c r="A2" s="2" t="s">
        <v>51</v>
      </c>
      <c r="B2" s="2" t="s">
        <v>52</v>
      </c>
    </row>
    <row r="3" spans="1:10" x14ac:dyDescent="0.25">
      <c r="A3" s="2">
        <v>0</v>
      </c>
      <c r="B3" s="2" t="s">
        <v>53</v>
      </c>
    </row>
    <row r="4" spans="1:10" x14ac:dyDescent="0.25">
      <c r="A4" s="2">
        <v>1</v>
      </c>
      <c r="B4" s="2" t="s">
        <v>73</v>
      </c>
    </row>
    <row r="5" spans="1:10" x14ac:dyDescent="0.25">
      <c r="A5" s="2">
        <v>2</v>
      </c>
      <c r="B5" s="2" t="s">
        <v>56</v>
      </c>
    </row>
    <row r="6" spans="1:10" x14ac:dyDescent="0.25">
      <c r="A6" s="9">
        <v>3</v>
      </c>
      <c r="B6" s="9" t="s">
        <v>166</v>
      </c>
    </row>
    <row r="7" spans="1:10" x14ac:dyDescent="0.25">
      <c r="A7" s="2">
        <v>4</v>
      </c>
      <c r="B7" s="2" t="s">
        <v>54</v>
      </c>
    </row>
    <row r="8" spans="1:10" x14ac:dyDescent="0.25">
      <c r="A8" s="2">
        <v>5</v>
      </c>
      <c r="B8" s="2" t="s">
        <v>55</v>
      </c>
    </row>
    <row r="10" spans="1:10" x14ac:dyDescent="0.25">
      <c r="A10" s="17" t="s">
        <v>78</v>
      </c>
      <c r="B10" s="17"/>
    </row>
    <row r="11" spans="1:10" x14ac:dyDescent="0.25">
      <c r="A11" s="2" t="s">
        <v>51</v>
      </c>
      <c r="B11" s="2" t="s">
        <v>52</v>
      </c>
    </row>
    <row r="12" spans="1:10" x14ac:dyDescent="0.25">
      <c r="A12" s="5">
        <v>0</v>
      </c>
      <c r="B12" s="2" t="s">
        <v>79</v>
      </c>
    </row>
    <row r="13" spans="1:10" x14ac:dyDescent="0.25">
      <c r="A13" s="5">
        <v>1</v>
      </c>
      <c r="B13" s="2" t="s">
        <v>81</v>
      </c>
      <c r="J13" t="s">
        <v>131</v>
      </c>
    </row>
    <row r="14" spans="1:10" x14ac:dyDescent="0.25">
      <c r="A14" s="5">
        <v>2</v>
      </c>
      <c r="B14" s="2" t="s">
        <v>80</v>
      </c>
    </row>
    <row r="15" spans="1:10" x14ac:dyDescent="0.25">
      <c r="A15" s="5">
        <v>3</v>
      </c>
      <c r="B15" s="2" t="s">
        <v>82</v>
      </c>
    </row>
    <row r="17" spans="1:2" x14ac:dyDescent="0.25">
      <c r="A17" s="18"/>
      <c r="B17" s="18"/>
    </row>
    <row r="18" spans="1:2" x14ac:dyDescent="0.25">
      <c r="A18" s="3"/>
      <c r="B18" s="3"/>
    </row>
    <row r="27" spans="1:2" x14ac:dyDescent="0.25">
      <c r="A27" s="18"/>
      <c r="B27" s="18"/>
    </row>
    <row r="28" spans="1:2" x14ac:dyDescent="0.25">
      <c r="A28" s="3"/>
      <c r="B28" s="3"/>
    </row>
    <row r="29" spans="1:2" x14ac:dyDescent="0.25">
      <c r="B29" s="3"/>
    </row>
    <row r="30" spans="1:2" x14ac:dyDescent="0.25">
      <c r="B30" s="3"/>
    </row>
    <row r="31" spans="1:2" x14ac:dyDescent="0.25">
      <c r="B31" s="3"/>
    </row>
    <row r="32" spans="1:2" x14ac:dyDescent="0.25">
      <c r="B32" s="3"/>
    </row>
    <row r="33" customFormat="1" x14ac:dyDescent="0.25"/>
    <row r="34" customFormat="1" x14ac:dyDescent="0.25"/>
    <row r="35" customFormat="1" x14ac:dyDescent="0.25"/>
    <row r="36" customFormat="1" x14ac:dyDescent="0.25"/>
    <row r="37" customFormat="1" x14ac:dyDescent="0.25"/>
    <row r="38" customFormat="1" x14ac:dyDescent="0.25"/>
    <row r="39" customFormat="1" x14ac:dyDescent="0.25"/>
    <row r="40" customFormat="1" x14ac:dyDescent="0.25"/>
    <row r="41" customFormat="1" x14ac:dyDescent="0.25"/>
  </sheetData>
  <mergeCells count="4">
    <mergeCell ref="A1:B1"/>
    <mergeCell ref="A10:B10"/>
    <mergeCell ref="A17:B17"/>
    <mergeCell ref="A27:B27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1DF2F-E470-453D-BC18-3CDC39A2AA52}">
  <dimension ref="A1:S21"/>
  <sheetViews>
    <sheetView workbookViewId="0">
      <selection activeCell="P45" sqref="P45"/>
    </sheetView>
  </sheetViews>
  <sheetFormatPr defaultColWidth="9.140625" defaultRowHeight="15" x14ac:dyDescent="0.25"/>
  <cols>
    <col min="1" max="1" width="6.85546875" bestFit="1" customWidth="1"/>
    <col min="2" max="7" width="9.85546875" bestFit="1" customWidth="1"/>
    <col min="8" max="8" width="1.42578125" customWidth="1"/>
    <col min="9" max="9" width="6.85546875" bestFit="1" customWidth="1"/>
    <col min="10" max="15" width="12" bestFit="1" customWidth="1"/>
    <col min="16" max="16" width="1.42578125" customWidth="1"/>
  </cols>
  <sheetData>
    <row r="1" spans="1:19" x14ac:dyDescent="0.25">
      <c r="A1" s="7" t="s">
        <v>175</v>
      </c>
      <c r="B1" s="7" t="s">
        <v>169</v>
      </c>
      <c r="C1" s="7" t="s">
        <v>170</v>
      </c>
      <c r="D1" s="7" t="s">
        <v>171</v>
      </c>
      <c r="E1" s="7" t="s">
        <v>172</v>
      </c>
      <c r="F1" s="7" t="s">
        <v>173</v>
      </c>
      <c r="G1" s="7" t="s">
        <v>174</v>
      </c>
      <c r="H1" s="12"/>
      <c r="I1" s="5" t="s">
        <v>175</v>
      </c>
      <c r="J1" s="5" t="s">
        <v>169</v>
      </c>
      <c r="K1" s="5" t="s">
        <v>170</v>
      </c>
      <c r="L1" s="5" t="s">
        <v>171</v>
      </c>
      <c r="M1" s="5" t="s">
        <v>172</v>
      </c>
      <c r="N1" s="5" t="s">
        <v>173</v>
      </c>
      <c r="O1" s="5" t="s">
        <v>174</v>
      </c>
      <c r="P1" s="12"/>
      <c r="Q1" s="5" t="s">
        <v>177</v>
      </c>
    </row>
    <row r="2" spans="1:19" x14ac:dyDescent="0.25">
      <c r="A2" s="5">
        <v>1</v>
      </c>
      <c r="B2" s="5">
        <v>25.04</v>
      </c>
      <c r="C2" s="5">
        <v>25.1</v>
      </c>
      <c r="D2" s="5">
        <v>25.14</v>
      </c>
      <c r="E2" s="5">
        <v>26.09</v>
      </c>
      <c r="F2" s="5">
        <v>25.94</v>
      </c>
      <c r="G2" s="13">
        <v>25.96</v>
      </c>
      <c r="H2" s="12"/>
      <c r="I2" s="5">
        <v>1</v>
      </c>
      <c r="J2" s="5">
        <f t="shared" ref="J2:K6" si="0">600/(B2/60)</f>
        <v>1437.6996805111821</v>
      </c>
      <c r="K2" s="5">
        <f t="shared" si="0"/>
        <v>1434.2629482071713</v>
      </c>
      <c r="L2" s="5">
        <f t="shared" ref="L2:L6" si="1">600/(D2/60)</f>
        <v>1431.9809069212411</v>
      </c>
      <c r="M2" s="5">
        <f t="shared" ref="M2:M6" si="2">600/(E2/60)</f>
        <v>1379.8390187811422</v>
      </c>
      <c r="N2" s="5">
        <f t="shared" ref="N2:N6" si="3">600/(F2/60)</f>
        <v>1387.8180416345413</v>
      </c>
      <c r="O2" s="5">
        <f>600/(G3/60)</f>
        <v>1410.6583072100314</v>
      </c>
      <c r="P2" s="12"/>
      <c r="Q2" s="5">
        <f t="shared" ref="Q2:Q6" si="4">AVERAGE(J2:O2)</f>
        <v>1413.7098172108851</v>
      </c>
    </row>
    <row r="3" spans="1:19" x14ac:dyDescent="0.25">
      <c r="A3" s="5">
        <v>2</v>
      </c>
      <c r="B3" s="5">
        <v>24.65</v>
      </c>
      <c r="C3" s="5">
        <v>24.94</v>
      </c>
      <c r="D3" s="5">
        <v>24.92</v>
      </c>
      <c r="E3" s="5">
        <v>25.19</v>
      </c>
      <c r="F3" s="5">
        <v>25.99</v>
      </c>
      <c r="G3" s="5">
        <v>25.52</v>
      </c>
      <c r="H3" s="12"/>
      <c r="I3" s="5">
        <v>2</v>
      </c>
      <c r="J3" s="5">
        <f t="shared" si="0"/>
        <v>1460.4462474645031</v>
      </c>
      <c r="K3" s="5">
        <f t="shared" si="0"/>
        <v>1443.4643143544506</v>
      </c>
      <c r="L3" s="5">
        <f t="shared" si="1"/>
        <v>1444.6227929373995</v>
      </c>
      <c r="M3" s="5">
        <f t="shared" si="2"/>
        <v>1429.1385470424771</v>
      </c>
      <c r="N3" s="5">
        <f t="shared" si="3"/>
        <v>1385.148133897653</v>
      </c>
      <c r="O3" s="5">
        <f>600/(G3/60)</f>
        <v>1410.6583072100314</v>
      </c>
      <c r="P3" s="12"/>
      <c r="Q3" s="5">
        <f t="shared" si="4"/>
        <v>1428.9130571510859</v>
      </c>
    </row>
    <row r="4" spans="1:19" x14ac:dyDescent="0.25">
      <c r="A4" s="5">
        <v>3</v>
      </c>
      <c r="B4" s="5">
        <v>24.07</v>
      </c>
      <c r="C4" s="5">
        <v>24.45</v>
      </c>
      <c r="D4" s="5">
        <v>25.02</v>
      </c>
      <c r="E4" s="5">
        <v>26.95</v>
      </c>
      <c r="F4" s="5">
        <v>25.27</v>
      </c>
      <c r="G4" s="5">
        <v>24.94</v>
      </c>
      <c r="H4" s="12"/>
      <c r="I4" s="5">
        <v>3</v>
      </c>
      <c r="J4" s="5">
        <f t="shared" si="0"/>
        <v>1495.6377233070211</v>
      </c>
      <c r="K4" s="5">
        <f t="shared" si="0"/>
        <v>1472.39263803681</v>
      </c>
      <c r="L4" s="5">
        <f t="shared" si="1"/>
        <v>1438.8489208633093</v>
      </c>
      <c r="M4" s="5">
        <f t="shared" si="2"/>
        <v>1335.8070500927645</v>
      </c>
      <c r="N4" s="5">
        <f t="shared" si="3"/>
        <v>1424.6141669964386</v>
      </c>
      <c r="O4" s="5">
        <f t="shared" ref="O4:O6" si="5">600/(G4/60)</f>
        <v>1443.4643143544506</v>
      </c>
      <c r="P4" s="12"/>
      <c r="Q4" s="5">
        <f t="shared" si="4"/>
        <v>1435.127468941799</v>
      </c>
    </row>
    <row r="5" spans="1:19" x14ac:dyDescent="0.25">
      <c r="A5" s="5">
        <v>4</v>
      </c>
      <c r="B5" s="5">
        <v>24</v>
      </c>
      <c r="C5" s="5">
        <v>23.6</v>
      </c>
      <c r="D5" s="5">
        <v>24.54</v>
      </c>
      <c r="E5" s="5">
        <v>24.9</v>
      </c>
      <c r="F5" s="5">
        <v>25.49</v>
      </c>
      <c r="G5" s="5">
        <v>25.33</v>
      </c>
      <c r="H5" s="12"/>
      <c r="I5" s="5">
        <v>4</v>
      </c>
      <c r="J5" s="5">
        <f t="shared" si="0"/>
        <v>1500</v>
      </c>
      <c r="K5" s="5">
        <f t="shared" si="0"/>
        <v>1525.4237288135591</v>
      </c>
      <c r="L5" s="5">
        <f t="shared" si="1"/>
        <v>1466.9926650366749</v>
      </c>
      <c r="M5" s="5">
        <f t="shared" si="2"/>
        <v>1445.7831325301206</v>
      </c>
      <c r="N5" s="5">
        <f t="shared" si="3"/>
        <v>1412.3185562965871</v>
      </c>
      <c r="O5" s="5">
        <f t="shared" si="5"/>
        <v>1421.2396367943152</v>
      </c>
      <c r="P5" s="12"/>
      <c r="Q5" s="5">
        <f t="shared" si="4"/>
        <v>1461.9596199118762</v>
      </c>
    </row>
    <row r="6" spans="1:19" x14ac:dyDescent="0.25">
      <c r="A6" s="5">
        <v>5</v>
      </c>
      <c r="B6" s="5">
        <v>23</v>
      </c>
      <c r="C6" s="5">
        <v>23.28</v>
      </c>
      <c r="D6" s="5">
        <v>24.37</v>
      </c>
      <c r="E6" s="5">
        <v>24.7</v>
      </c>
      <c r="F6" s="5">
        <v>24.3</v>
      </c>
      <c r="G6" s="5">
        <v>24.86</v>
      </c>
      <c r="H6" s="12"/>
      <c r="I6" s="5">
        <v>5</v>
      </c>
      <c r="J6" s="5">
        <f t="shared" si="0"/>
        <v>1565.2173913043478</v>
      </c>
      <c r="K6" s="5">
        <f t="shared" si="0"/>
        <v>1546.3917525773195</v>
      </c>
      <c r="L6" s="5">
        <f t="shared" si="1"/>
        <v>1477.2260976610587</v>
      </c>
      <c r="M6" s="5">
        <f t="shared" si="2"/>
        <v>1457.48987854251</v>
      </c>
      <c r="N6" s="5">
        <f t="shared" si="3"/>
        <v>1481.4814814814813</v>
      </c>
      <c r="O6" s="5">
        <f t="shared" si="5"/>
        <v>1448.1094127111826</v>
      </c>
      <c r="P6" s="12"/>
      <c r="Q6" s="5">
        <f t="shared" si="4"/>
        <v>1495.98600237965</v>
      </c>
    </row>
    <row r="7" spans="1:19" x14ac:dyDescent="0.25">
      <c r="A7" s="5">
        <v>6</v>
      </c>
      <c r="B7" s="5">
        <v>22.66</v>
      </c>
      <c r="C7" s="5">
        <v>23.55</v>
      </c>
      <c r="D7" s="5">
        <v>22.85</v>
      </c>
      <c r="E7" s="5">
        <v>22.65</v>
      </c>
      <c r="F7" s="5">
        <v>22.81</v>
      </c>
      <c r="G7" s="5">
        <v>23</v>
      </c>
      <c r="H7" s="12"/>
      <c r="I7" s="5">
        <v>6</v>
      </c>
      <c r="J7" s="5">
        <f>600/(B7/60)</f>
        <v>1588.7025595763459</v>
      </c>
      <c r="K7" s="5">
        <f t="shared" ref="K7:O7" si="6">600/(C7/60)</f>
        <v>1528.6624203821655</v>
      </c>
      <c r="L7" s="5">
        <f t="shared" si="6"/>
        <v>1575.4923413566739</v>
      </c>
      <c r="M7" s="5">
        <f t="shared" si="6"/>
        <v>1589.4039735099338</v>
      </c>
      <c r="N7" s="5">
        <f t="shared" si="6"/>
        <v>1578.255151249452</v>
      </c>
      <c r="O7" s="5">
        <f t="shared" si="6"/>
        <v>1565.2173913043478</v>
      </c>
      <c r="P7" s="12"/>
      <c r="Q7" s="5">
        <f>AVERAGE(J7:O7)</f>
        <v>1570.9556395631532</v>
      </c>
    </row>
    <row r="8" spans="1:19" s="11" customFormat="1" ht="5.25" customHeight="1" x14ac:dyDescent="0.25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</row>
    <row r="9" spans="1:19" x14ac:dyDescent="0.25">
      <c r="A9" s="5" t="s">
        <v>177</v>
      </c>
      <c r="B9" s="5">
        <f>AVERAGE(B2:B7)</f>
        <v>23.903333333333332</v>
      </c>
      <c r="C9" s="5">
        <f t="shared" ref="C9:F9" si="7">AVERAGE(C2:C7)</f>
        <v>24.153333333333336</v>
      </c>
      <c r="D9" s="5">
        <f t="shared" si="7"/>
        <v>24.473333333333333</v>
      </c>
      <c r="E9" s="5">
        <f t="shared" si="7"/>
        <v>25.08</v>
      </c>
      <c r="F9" s="5">
        <f t="shared" si="7"/>
        <v>24.966666666666665</v>
      </c>
      <c r="G9" s="5">
        <f>AVERAGE(G3:G7)</f>
        <v>24.729999999999997</v>
      </c>
      <c r="H9" s="12"/>
      <c r="I9" s="5" t="s">
        <v>177</v>
      </c>
      <c r="J9" s="5">
        <f>AVERAGE(J2:J7)</f>
        <v>1507.9506003605668</v>
      </c>
      <c r="K9" s="5">
        <f t="shared" ref="K9:Q9" si="8">AVERAGE(K2:K7)</f>
        <v>1491.7663003952459</v>
      </c>
      <c r="L9" s="5">
        <f t="shared" si="8"/>
        <v>1472.5272874627262</v>
      </c>
      <c r="M9" s="5">
        <f t="shared" si="8"/>
        <v>1439.5769334164913</v>
      </c>
      <c r="N9" s="5">
        <f t="shared" si="8"/>
        <v>1444.9392552593588</v>
      </c>
      <c r="O9" s="5">
        <f t="shared" si="8"/>
        <v>1449.8912282640597</v>
      </c>
      <c r="P9" s="12"/>
      <c r="Q9" s="5">
        <f t="shared" si="8"/>
        <v>1467.7752675264082</v>
      </c>
    </row>
    <row r="10" spans="1:19" x14ac:dyDescent="0.25">
      <c r="F10" t="s">
        <v>176</v>
      </c>
      <c r="H10" s="11"/>
      <c r="P10" s="11"/>
    </row>
    <row r="13" spans="1:19" x14ac:dyDescent="0.25">
      <c r="Q13">
        <v>30.677</v>
      </c>
      <c r="R13">
        <v>1400.6</v>
      </c>
    </row>
    <row r="14" spans="1:19" x14ac:dyDescent="0.25">
      <c r="Q14">
        <v>23.82</v>
      </c>
      <c r="R14">
        <v>1408.4</v>
      </c>
      <c r="S14" t="s">
        <v>176</v>
      </c>
    </row>
    <row r="15" spans="1:19" x14ac:dyDescent="0.25">
      <c r="Q15">
        <v>24.1</v>
      </c>
      <c r="R15">
        <v>1388.2</v>
      </c>
    </row>
    <row r="16" spans="1:19" x14ac:dyDescent="0.25">
      <c r="Q16">
        <v>35.51</v>
      </c>
      <c r="R16">
        <v>1315.3</v>
      </c>
    </row>
    <row r="17" spans="17:18" x14ac:dyDescent="0.25">
      <c r="Q17">
        <v>35.11</v>
      </c>
      <c r="R17">
        <v>1322.1</v>
      </c>
    </row>
    <row r="18" spans="17:18" x14ac:dyDescent="0.25">
      <c r="Q18">
        <v>24.6</v>
      </c>
      <c r="R18">
        <v>1363.6</v>
      </c>
    </row>
    <row r="21" spans="17:18" x14ac:dyDescent="0.25">
      <c r="Q21">
        <v>26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Tag List</vt:lpstr>
      <vt:lpstr>IO</vt:lpstr>
      <vt:lpstr>Enumerations</vt:lpstr>
      <vt:lpstr>Flow Rates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Duncan Keller</dc:creator>
  <cp:lastModifiedBy>James keller</cp:lastModifiedBy>
  <dcterms:created xsi:type="dcterms:W3CDTF">2024-07-16T20:06:47Z</dcterms:created>
  <dcterms:modified xsi:type="dcterms:W3CDTF">2025-11-06T22:53:43Z</dcterms:modified>
</cp:coreProperties>
</file>